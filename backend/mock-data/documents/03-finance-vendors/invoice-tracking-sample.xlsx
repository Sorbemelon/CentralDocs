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409ef2dff44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 Register" sheetId="1" r:id="R5a45bbf8d9554bd0"/>
    <x:sheet xmlns:r="http://schemas.openxmlformats.org/officeDocument/2006/relationships" name="Summary" sheetId="2" r:id="Rf34897e020a248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 &quot;THB&quot;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E3A8A"/>
      </x:patternFill>
    </x:fill>
    <x:fill>
      <x:patternFill patternType="solid">
        <x:fgColor rgb="0F766E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  <x:dxfs count="4">
    <x:dxf>
      <x:font>
        <x:b/>
        <x:color rgb="B91C1C"/>
      </x:font>
      <x:fill>
        <x:patternFill patternType="solid">
          <x:bgColor rgb="FEE2E2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b/>
        <x:color rgb="B91C1C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0f1ffc59e0488b" /><Relationship Type="http://schemas.openxmlformats.org/officeDocument/2006/relationships/theme" Target="/xl/theme/theme1.xml" Id="R5b96506117584888" /><Relationship Type="http://schemas.openxmlformats.org/officeDocument/2006/relationships/sharedStrings" Target="/xl/sharedStrings.xml" Id="R1650369512f040d1" /><Relationship Type="http://schemas.openxmlformats.org/officeDocument/2006/relationships/worksheet" Target="/xl/worksheets/sheet1.xml" Id="R5a45bbf8d9554bd0" /><Relationship Type="http://schemas.openxmlformats.org/officeDocument/2006/relationships/worksheet" Target="/xl/worksheets/sheet2.xml" Id="Rf34897e020a2484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9ab1ad700124c4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Risk Count</c:v>
          </c:tx>
          <c:cat>
            <c:strRef>
              <c:f>'Summary'!$D$4:$D$6</c:f>
              <c:strCache>
                <c:ptCount val="0"/>
              </c:strCache>
            </c:strRef>
          </c:cat>
          <c:val>
            <c:numRef>
              <c:f>'Summary'!$E$4:$E$6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ab1ad700124c4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voiceRegisterTable" displayName="InvoiceRegisterTable" ref="A1:K9" headerRowCount="1">
  <x:tableColumns count="11">
    <x:tableColumn id="1" name="Invoice ID"/>
    <x:tableColumn id="2" name="Vendor"/>
    <x:tableColumn id="3" name="Category"/>
    <x:tableColumn id="4" name="Owner"/>
    <x:tableColumn id="5" name="Invoice Date"/>
    <x:tableColumn id="6" name="Due Date"/>
    <x:tableColumn id="7" name="Amount THB"/>
    <x:tableColumn id="8" name="Status"/>
    <x:tableColumn id="9" name="Risk Flag"/>
    <x:tableColumn id="10" name="Related Document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a687c9680040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30a5d5566a945b0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20" hidden="0" customWidth="1"/>
    <x:col min="4" max="4" width="20" hidden="0" customWidth="1"/>
    <x:col min="5" max="5" width="13" hidden="0" customWidth="1"/>
    <x:col min="6" max="6" width="13" hidden="0" customWidth="1"/>
    <x:col min="7" max="7" width="14" hidden="0" customWidth="1"/>
    <x:col min="8" max="8" width="17" hidden="0" customWidth="1"/>
    <x:col min="9" max="9" width="17" hidden="0" customWidth="1"/>
    <x:col min="10" max="10" width="36" hidden="0" customWidth="1"/>
    <x:col min="11" max="11" width="36" hidden="0" customWidth="1"/>
  </x:cols>
  <x:sheetData>
    <x:row r="1">
      <x:c r="A1" s="6" t="str">
        <x:v>Invoice ID</x:v>
      </x:c>
      <x:c r="B1" s="6" t="str">
        <x:v>Vendor</x:v>
      </x:c>
      <x:c r="C1" s="6" t="str">
        <x:v>Category</x:v>
      </x:c>
      <x:c r="D1" s="6" t="str">
        <x:v>Owner</x:v>
      </x:c>
      <x:c r="E1" s="6" t="str">
        <x:v>Invoice Date</x:v>
      </x:c>
      <x:c r="F1" s="6" t="str">
        <x:v>Due Date</x:v>
      </x:c>
      <x:c r="G1" s="6" t="str">
        <x:v>Amount THB</x:v>
      </x:c>
      <x:c r="H1" s="6" t="str">
        <x:v>Status</x:v>
      </x:c>
      <x:c r="I1" s="6" t="str">
        <x:v>Risk Flag</x:v>
      </x:c>
      <x:c r="J1" s="6" t="str">
        <x:v>Related Document</x:v>
      </x:c>
      <x:c r="K1" s="6" t="str">
        <x:v>Notes</x:v>
      </x:c>
    </x:row>
    <x:row r="2">
      <x:c r="A2" s="12" t="str">
        <x:v>INV-260501</x:v>
      </x:c>
      <x:c r="B2" s="12" t="str">
        <x:v>Lotus Scan Co.</x:v>
      </x:c>
      <x:c r="C2" s="12" t="str">
        <x:v>Scanning hardware</x:v>
      </x:c>
      <x:c r="D2" s="12" t="str">
        <x:v>Finance Coordinator</x:v>
      </x:c>
      <x:c r="E2" s="14" t="n">
        <x:v>46143</x:v>
      </x:c>
      <x:c r="F2" s="14" t="n">
        <x:v>46158</x:v>
      </x:c>
      <x:c r="G2" s="16" t="n">
        <x:v>18200</x:v>
      </x:c>
      <x:c r="H2" s="12" t="str">
        <x:v>Pending Approval</x:v>
      </x:c>
      <x:c r="I2" s="12" t="str">
        <x:v>Medium</x:v>
      </x:c>
      <x:c r="J2" s="12" t="str">
        <x:v>Vendor Onboarding Checklist.docx</x:v>
      </x:c>
      <x:c r="K2" s="12" t="str">
        <x:v>Bank details complete; waiting manager approval.</x:v>
      </x:c>
    </x:row>
    <x:row r="3">
      <x:c r="A3" s="12" t="str">
        <x:v>INV-260502</x:v>
      </x:c>
      <x:c r="B3" s="12" t="str">
        <x:v>Northstar Forms</x:v>
      </x:c>
      <x:c r="C3" s="12" t="str">
        <x:v>Document templates</x:v>
      </x:c>
      <x:c r="D3" s="12" t="str">
        <x:v>Document Operations</x:v>
      </x:c>
      <x:c r="E3" s="14" t="n">
        <x:v>46144</x:v>
      </x:c>
      <x:c r="F3" s="14" t="n">
        <x:v>46159</x:v>
      </x:c>
      <x:c r="G3" s="16" t="n">
        <x:v>7400</x:v>
      </x:c>
      <x:c r="H3" s="12" t="str">
        <x:v>Approved</x:v>
      </x:c>
      <x:c r="I3" s="12" t="str">
        <x:v>Low</x:v>
      </x:c>
      <x:c r="J3" s="12" t="str">
        <x:v>Document Management Policy.pdf</x:v>
      </x:c>
      <x:c r="K3" s="12" t="str">
        <x:v>Templates support naming convention rollout.</x:v>
      </x:c>
    </x:row>
    <x:row r="4">
      <x:c r="A4" s="12" t="str">
        <x:v>INV-260503</x:v>
      </x:c>
      <x:c r="B4" s="12" t="str">
        <x:v>Bright Desk Training</x:v>
      </x:c>
      <x:c r="C4" s="12" t="str">
        <x:v>Staff training</x:v>
      </x:c>
      <x:c r="D4" s="12" t="str">
        <x:v>Project Lead</x:v>
      </x:c>
      <x:c r="E4" s="14" t="n">
        <x:v>46146</x:v>
      </x:c>
      <x:c r="F4" s="14" t="n">
        <x:v>46156</x:v>
      </x:c>
      <x:c r="G4" s="16" t="n">
        <x:v>28500</x:v>
      </x:c>
      <x:c r="H4" s="12" t="str">
        <x:v>Overdue</x:v>
      </x:c>
      <x:c r="I4" s="12" t="str">
        <x:v>High</x:v>
      </x:c>
      <x:c r="J4" s="12" t="str">
        <x:v>Digital Workspace Rollout Plan.pptx</x:v>
      </x:c>
      <x:c r="K4" s="12" t="str">
        <x:v>Training deck delivered; payment approval delayed.</x:v>
      </x:c>
    </x:row>
    <x:row r="5">
      <x:c r="A5" s="12" t="str">
        <x:v>INV-260504</x:v>
      </x:c>
      <x:c r="B5" s="12" t="str">
        <x:v>Cloud Shelf Storage</x:v>
      </x:c>
      <x:c r="C5" s="12" t="str">
        <x:v>Document storage</x:v>
      </x:c>
      <x:c r="D5" s="12" t="str">
        <x:v>IT Coordinator</x:v>
      </x:c>
      <x:c r="E5" s="14" t="n">
        <x:v>46149</x:v>
      </x:c>
      <x:c r="F5" s="14" t="n">
        <x:v>46164</x:v>
      </x:c>
      <x:c r="G5" s="16" t="n">
        <x:v>12300</x:v>
      </x:c>
      <x:c r="H5" s="12" t="str">
        <x:v>Pending Review</x:v>
      </x:c>
      <x:c r="I5" s="12" t="str">
        <x:v>Medium</x:v>
      </x:c>
      <x:c r="J5" s="12" t="str">
        <x:v>CentralDocs Transformation Brief.md</x:v>
      </x:c>
      <x:c r="K5" s="12" t="str">
        <x:v>Confirm storage cost aligns with demo limits.</x:v>
      </x:c>
    </x:row>
    <x:row r="6">
      <x:c r="A6" s="12" t="str">
        <x:v>INV-260505</x:v>
      </x:c>
      <x:c r="B6" s="12" t="str">
        <x:v>Helpdesk Notes Ltd.</x:v>
      </x:c>
      <x:c r="C6" s="12" t="str">
        <x:v>Support playbook</x:v>
      </x:c>
      <x:c r="D6" s="12" t="str">
        <x:v>Support Lead</x:v>
      </x:c>
      <x:c r="E6" s="14" t="n">
        <x:v>46150</x:v>
      </x:c>
      <x:c r="F6" s="14" t="n">
        <x:v>46165</x:v>
      </x:c>
      <x:c r="G6" s="16" t="n">
        <x:v>6100</x:v>
      </x:c>
      <x:c r="H6" s="12" t="str">
        <x:v>Approved</x:v>
      </x:c>
      <x:c r="I6" s="12" t="str">
        <x:v>Low</x:v>
      </x:c>
      <x:c r="J6" s="12" t="str">
        <x:v>Support Knowledge Playbook.tsv</x:v>
      </x:c>
      <x:c r="K6" s="12" t="str">
        <x:v>Playbook rows mapped to repeated support tickets.</x:v>
      </x:c>
    </x:row>
    <x:row r="7">
      <x:c r="A7" s="12" t="str">
        <x:v>INV-260506</x:v>
      </x:c>
      <x:c r="B7" s="12" t="str">
        <x:v>Orchid Audio Services</x:v>
      </x:c>
      <x:c r="C7" s="12" t="str">
        <x:v>Meeting recording</x:v>
      </x:c>
      <x:c r="D7" s="12" t="str">
        <x:v>Project Lead</x:v>
      </x:c>
      <x:c r="E7" s="14" t="n">
        <x:v>46151</x:v>
      </x:c>
      <x:c r="F7" s="14" t="n">
        <x:v>46161</x:v>
      </x:c>
      <x:c r="G7" s="16" t="n">
        <x:v>4500</x:v>
      </x:c>
      <x:c r="H7" s="12" t="str">
        <x:v>Pending Approval</x:v>
      </x:c>
      <x:c r="I7" s="12" t="str">
        <x:v>Low</x:v>
      </x:c>
      <x:c r="J7" s="12" t="str">
        <x:v>Rollout Risk Discussion.mp3</x:v>
      </x:c>
      <x:c r="K7" s="12" t="str">
        <x:v>Audio evidence should be embedded once and cached.</x:v>
      </x:c>
    </x:row>
    <x:row r="8">
      <x:c r="A8" s="12" t="str">
        <x:v>INV-260507</x:v>
      </x:c>
      <x:c r="B8" s="12" t="str">
        <x:v>VendorBridge Co.</x:v>
      </x:c>
      <x:c r="C8" s="12" t="str">
        <x:v>Vendor onboarding</x:v>
      </x:c>
      <x:c r="D8" s="12" t="str">
        <x:v>Finance Coordinator</x:v>
      </x:c>
      <x:c r="E8" s="14" t="n">
        <x:v>46152</x:v>
      </x:c>
      <x:c r="F8" s="14" t="n">
        <x:v>46162</x:v>
      </x:c>
      <x:c r="G8" s="16" t="n">
        <x:v>15700</x:v>
      </x:c>
      <x:c r="H8" s="12" t="str">
        <x:v>Missing Info</x:v>
      </x:c>
      <x:c r="I8" s="12" t="str">
        <x:v>High</x:v>
      </x:c>
      <x:c r="J8" s="12" t="str">
        <x:v>Vendor Onboarding Checklist.docx</x:v>
      </x:c>
      <x:c r="K8" s="12" t="str">
        <x:v>Tax ID missing; check risk flags.</x:v>
      </x:c>
    </x:row>
    <x:row r="9">
      <x:c r="A9" s="12" t="str">
        <x:v>INV-260508</x:v>
      </x:c>
      <x:c r="B9" s="12" t="str">
        <x:v>Retail Feedback Lab</x:v>
      </x:c>
      <x:c r="C9" s="12" t="str">
        <x:v>Customer feedback export</x:v>
      </x:c>
      <x:c r="D9" s="12" t="str">
        <x:v>Support Lead</x:v>
      </x:c>
      <x:c r="E9" s="14" t="n">
        <x:v>46153</x:v>
      </x:c>
      <x:c r="F9" s="14" t="n">
        <x:v>46168</x:v>
      </x:c>
      <x:c r="G9" s="16" t="n">
        <x:v>9200</x:v>
      </x:c>
      <x:c r="H9" s="12" t="str">
        <x:v>Approved</x:v>
      </x:c>
      <x:c r="I9" s="12" t="str">
        <x:v>Low</x:v>
      </x:c>
      <x:c r="J9" s="12" t="str">
        <x:v>Customer Feedback Export.csv</x:v>
      </x:c>
      <x:c r="K9" s="12" t="str">
        <x:v>CSV used for pain point analysis.</x:v>
      </x:c>
    </x:row>
  </x:sheetData>
  <x:conditionalFormatting sqref="I2:I9">
    <x:cfRule type="expression" dxfId="0" priority="1">
      <x:formula>I2="High"</x:formula>
    </x:cfRule>
    <x:cfRule type="expression" dxfId="1" priority="2">
      <x:formula>I2="Medium"</x:formula>
    </x:cfRule>
  </x:conditionalFormatting>
  <x:conditionalFormatting sqref="H2:H9">
    <x:cfRule type="expression" dxfId="2" priority="3">
      <x:formula>H2="Approved"</x:formula>
    </x:cfRule>
    <x:cfRule type="expression" dxfId="3" priority="4">
      <x:formula>H2="Overdue"</x:formula>
    </x:cfRule>
  </x:conditionalFormatting>
  <x:dataValidations count="2">
    <x:dataValidation type="list" sqref="H2:H9">
      <x:formula1>"Pending Approval,Approved,Overdue,Pending Review,Missing Info"</x:formula1>
    </x:dataValidation>
    <x:dataValidation type="list" sqref="I2:I9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a687c9680040f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4" max="4" width="16" hidden="0" customWidth="1"/>
    <x:col min="5" max="5" width="16" hidden="0" customWidth="1"/>
  </x:cols>
  <x:sheetData>
    <x:row r="1">
      <x:c r="A1" s="20" t="str">
        <x:v>Orchid Retail Invoice Tracking Summary</x:v>
      </x:c>
    </x:row>
    <x:row r="3">
      <x:c r="A3" s="25" t="str">
        <x:v>Metric</x:v>
      </x:c>
      <x:c r="B3" s="25" t="str">
        <x:v>Value</x:v>
      </x:c>
      <x:c r="D3" s="25" t="str">
        <x:v>Risk Flag</x:v>
      </x:c>
      <x:c r="E3" s="25" t="str">
        <x:v>Count</x:v>
      </x:c>
    </x:row>
    <x:row r="4">
      <x:c r="A4" s="29" t="str">
        <x:v>Total invoices</x:v>
      </x:c>
      <x:c r="B4" s="32" t="n">
        <x:f>COUNTA('Invoice Register'!A2:A9)</x:f>
        <x:v>8</x:v>
      </x:c>
      <x:c r="D4" s="32" t="str">
        <x:v>Low</x:v>
      </x:c>
      <x:c r="E4" s="32" t="n">
        <x:f>COUNTIF('Invoice Register'!I2:I9,D4)</x:f>
        <x:v>4</x:v>
      </x:c>
    </x:row>
    <x:row r="5">
      <x:c r="A5" s="29" t="str">
        <x:v>Approved invoices</x:v>
      </x:c>
      <x:c r="B5" s="32" t="n">
        <x:f>COUNTIF('Invoice Register'!H2:H9,"Approved")</x:f>
        <x:v>3</x:v>
      </x:c>
      <x:c r="D5" s="32" t="str">
        <x:v>Medium</x:v>
      </x:c>
      <x:c r="E5" s="32" t="n">
        <x:f>COUNTIF('Invoice Register'!I2:I9,D5)</x:f>
        <x:v>2</x:v>
      </x:c>
    </x:row>
    <x:row r="6">
      <x:c r="A6" s="29" t="str">
        <x:v>High-risk invoices</x:v>
      </x:c>
      <x:c r="B6" s="32" t="n">
        <x:f>COUNTIF('Invoice Register'!I2:I9,"High")</x:f>
        <x:v>2</x:v>
      </x:c>
      <x:c r="D6" s="32" t="str">
        <x:v>High</x:v>
      </x:c>
      <x:c r="E6" s="32" t="n">
        <x:f>COUNTIF('Invoice Register'!I2:I9,D6)</x:f>
        <x:v>2</x:v>
      </x:c>
    </x:row>
    <x:row r="7">
      <x:c r="A7" s="29" t="str">
        <x:v>Overdue invoices</x:v>
      </x:c>
      <x:c r="B7" s="32" t="n">
        <x:f>COUNTIF('Invoice Register'!H2:H9,"Overdue")</x:f>
        <x:v>1</x:v>
      </x:c>
    </x:row>
    <x:row r="8">
      <x:c r="A8" s="29" t="str">
        <x:v>Total amount THB</x:v>
      </x:c>
      <x:c r="B8" s="33" t="n">
        <x:f>SUM('Invoice Register'!G2:G9)</x:f>
        <x:v>101900</x:v>
      </x:c>
    </x:row>
  </x:sheetData>
  <x:mergeCells>
    <x:mergeCell ref="A1:E1"/>
  </x:mergeCells>
  <x:pageMargins left="0.7" right="0.7" top="0.75" bottom="0.75" header="0.3" footer="0.3"/>
  <x:drawing xmlns:r="http://schemas.openxmlformats.org/officeDocument/2006/relationships" r:id="Rd30a5d5566a945b0"/>
</x:worksheet>
</file>